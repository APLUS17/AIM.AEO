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Five-question AI visibility test</t>
        </is>
      </c>
    </row>
    <row r="2">
      <c r="A2" s="2" t="inlineStr"/>
    </row>
    <row r="3">
      <c r="A3" s="2" t="inlineStr">
        <is>
          <t>What this is: a way to see what ChatGPT, Claude and Perplexity say about your business. About 30 minutes, no tools.</t>
        </is>
      </c>
    </row>
    <row r="4">
      <c r="A4" s="2" t="inlineStr"/>
    </row>
    <row r="5">
      <c r="A5" s="3" t="inlineStr">
        <is>
          <t>Steps</t>
        </is>
      </c>
    </row>
    <row r="6">
      <c r="A6" s="2" t="inlineStr">
        <is>
          <t>1. On the Questions sheet, fill in the yellow cells. The five questions write themselves.</t>
        </is>
      </c>
    </row>
    <row r="7">
      <c r="A7" s="2" t="inlineStr">
        <is>
          <t>2. Open each engine in a fresh chat. Turn off memory or personalization if the tool has it.</t>
        </is>
      </c>
    </row>
    <row r="8">
      <c r="A8" s="2" t="inlineStr">
        <is>
          <t>3. Paste each question with the exact wording. Use the same wording on every engine.</t>
        </is>
      </c>
    </row>
    <row r="9">
      <c r="A9" s="2" t="inlineStr">
        <is>
          <t>4. Ask each question at least twice. Answers vary from run to run.</t>
        </is>
      </c>
    </row>
    <row r="10">
      <c r="A10" s="2" t="inlineStr">
        <is>
          <t>5. Log every answer on the Log sheet: the date, the engine, the question number, and what you saw.</t>
        </is>
      </c>
    </row>
    <row r="11">
      <c r="A11" s="2" t="inlineStr">
        <is>
          <t>6. Read the Summary sheet. It fills in by itself.</t>
        </is>
      </c>
    </row>
    <row r="12">
      <c r="A12" s="2" t="inlineStr"/>
    </row>
    <row r="13">
      <c r="A13" s="3" t="inlineStr">
        <is>
          <t>How to read the Summary</t>
        </is>
      </c>
    </row>
    <row r="14">
      <c r="A14" s="2" t="inlineStr">
        <is>
          <t>Low mention rate on the unbranded questions (1 and 2): a visibility problem. The AI does not connect you with your category.</t>
        </is>
      </c>
    </row>
    <row r="15">
      <c r="A15" s="2" t="inlineStr">
        <is>
          <t>Mentioned, but low in the list or described generically: a position problem. Check the Position and 'What it said' columns.</t>
        </is>
      </c>
    </row>
    <row r="16">
      <c r="A16" s="2" t="inlineStr">
        <is>
          <t>Wrong or outdated facts on the branded questions (3 to 5): an accuracy problem. Note exactly what was wrong and where it may have come from.</t>
        </is>
      </c>
    </row>
    <row r="17">
      <c r="A17" s="2" t="inlineStr"/>
    </row>
    <row r="18">
      <c r="A18" s="2" t="inlineStr">
        <is>
          <t>Keep it repeatable: save the exact wording and run the same five questions once a month. One run proves little; look for a pattern.</t>
        </is>
      </c>
    </row>
    <row r="19">
      <c r="A19" s="2" t="inlineStr">
        <is>
          <t>The chat apps your buyers use can answer differently from the developer tools (APIs). Use the apps for this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90" customWidth="1" min="3" max="3"/>
  </cols>
  <sheetData>
    <row r="1">
      <c r="A1" s="4" t="inlineStr">
        <is>
          <t>Fill in the yellow cells</t>
        </is>
      </c>
    </row>
    <row r="2">
      <c r="A2" t="inlineStr">
        <is>
          <t>Your brand</t>
        </is>
      </c>
      <c r="B2" s="5" t="n"/>
    </row>
    <row r="3">
      <c r="A3" t="inlineStr">
        <is>
          <t>Your category (e.g. invoicing tool)</t>
        </is>
      </c>
      <c r="B3" s="5" t="n"/>
    </row>
    <row r="4">
      <c r="A4" t="inlineStr">
        <is>
          <t>Type of buyer, with the article (e.g. a five-person agency)</t>
        </is>
      </c>
      <c r="B4" s="5" t="n"/>
    </row>
    <row r="5">
      <c r="A5" t="inlineStr">
        <is>
          <t>Specific need or budget</t>
        </is>
      </c>
      <c r="B5" s="5" t="n"/>
    </row>
    <row r="6">
      <c r="A6" t="inlineStr">
        <is>
          <t>Main competitor</t>
        </is>
      </c>
      <c r="B6" s="5" t="n"/>
    </row>
    <row r="8">
      <c r="A8" s="4" t="inlineStr">
        <is>
          <t>#</t>
        </is>
      </c>
      <c r="B8" s="4" t="inlineStr">
        <is>
          <t>Type</t>
        </is>
      </c>
      <c r="C8" s="4" t="inlineStr">
        <is>
          <t>Question to paste</t>
        </is>
      </c>
    </row>
    <row r="9">
      <c r="A9" t="n">
        <v>1</v>
      </c>
      <c r="B9" t="inlineStr">
        <is>
          <t>Unbranded</t>
        </is>
      </c>
      <c r="C9">
        <f>IF(OR($B$3="",$B$4=""),"Fill in the yellow cells above","What is the best "&amp;$B$3&amp;" for "&amp;$B$4&amp;"?")</f>
        <v/>
      </c>
    </row>
    <row r="10">
      <c r="A10" t="n">
        <v>2</v>
      </c>
      <c r="B10" t="inlineStr">
        <is>
          <t>Unbranded</t>
        </is>
      </c>
      <c r="C10">
        <f>IF(OR($B$3="",$B$5=""),"Fill in the yellow cells above","What are the top "&amp;$B$3&amp;" options for "&amp;$B$5&amp;"?")</f>
        <v/>
      </c>
    </row>
    <row r="11">
      <c r="A11" t="n">
        <v>3</v>
      </c>
      <c r="B11" t="inlineStr">
        <is>
          <t>Branded</t>
        </is>
      </c>
      <c r="C11">
        <f>IF($B$2="","Fill in the yellow cells above","What is "&amp;$B$2&amp;" and who is it for?")</f>
        <v/>
      </c>
    </row>
    <row r="12">
      <c r="A12" t="n">
        <v>4</v>
      </c>
      <c r="B12" t="inlineStr">
        <is>
          <t>Branded</t>
        </is>
      </c>
      <c r="C12">
        <f>IF(OR($B$2="",$B$6=""),"Fill in the yellow cells above","Is "&amp;$B$2&amp;" worth it compared with "&amp;$B$6&amp;"?")</f>
        <v/>
      </c>
    </row>
    <row r="13">
      <c r="A13" t="n">
        <v>5</v>
      </c>
      <c r="B13" t="inlineStr">
        <is>
          <t>Branded</t>
        </is>
      </c>
      <c r="C13">
        <f>IF($B$2="","Fill in the yellow cells above","How much does "&amp;$B$2&amp;" cost and what is included?")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8" customWidth="1" min="5" max="5"/>
    <col width="12" customWidth="1" min="6" max="6"/>
    <col width="14" customWidth="1" min="7" max="7"/>
    <col width="50" customWidth="1" min="8" max="8"/>
    <col width="18" customWidth="1" min="9" max="9"/>
    <col width="30" customWidth="1" min="10" max="10"/>
    <col width="30" customWidth="1" min="11" max="11"/>
  </cols>
  <sheetData>
    <row r="1">
      <c r="A1" s="4" t="inlineStr">
        <is>
          <t>Date</t>
        </is>
      </c>
      <c r="B1" s="4" t="inlineStr">
        <is>
          <t>Engine</t>
        </is>
      </c>
      <c r="C1" s="4" t="inlineStr">
        <is>
          <t>Question #</t>
        </is>
      </c>
      <c r="D1" s="4" t="inlineStr">
        <is>
          <t>Question type</t>
        </is>
      </c>
      <c r="E1" s="4" t="inlineStr">
        <is>
          <t>Run #</t>
        </is>
      </c>
      <c r="F1" s="4" t="inlineStr">
        <is>
          <t>Mentioned?</t>
        </is>
      </c>
      <c r="G1" s="4" t="inlineStr">
        <is>
          <t>Position</t>
        </is>
      </c>
      <c r="H1" s="4" t="inlineStr">
        <is>
          <t>What it said about you</t>
        </is>
      </c>
      <c r="I1" s="4" t="inlineStr">
        <is>
          <t>Wrong or outdated?</t>
        </is>
      </c>
      <c r="J1" s="4" t="inlineStr">
        <is>
          <t>Competitors named</t>
        </is>
      </c>
      <c r="K1" s="4" t="inlineStr">
        <is>
          <t>Sources cited</t>
        </is>
      </c>
    </row>
    <row r="2">
      <c r="D2">
        <f>IF(C2="","",IF(C2&lt;=2,"Unbranded","Branded"))</f>
        <v/>
      </c>
    </row>
    <row r="3">
      <c r="D3">
        <f>IF(C3="","",IF(C3&lt;=2,"Unbranded","Branded"))</f>
        <v/>
      </c>
    </row>
    <row r="4">
      <c r="D4">
        <f>IF(C4="","",IF(C4&lt;=2,"Unbranded","Branded"))</f>
        <v/>
      </c>
    </row>
    <row r="5">
      <c r="D5">
        <f>IF(C5="","",IF(C5&lt;=2,"Unbranded","Branded"))</f>
        <v/>
      </c>
    </row>
    <row r="6">
      <c r="D6">
        <f>IF(C6="","",IF(C6&lt;=2,"Unbranded","Branded"))</f>
        <v/>
      </c>
    </row>
    <row r="7">
      <c r="D7">
        <f>IF(C7="","",IF(C7&lt;=2,"Unbranded","Branded"))</f>
        <v/>
      </c>
    </row>
    <row r="8">
      <c r="D8">
        <f>IF(C8="","",IF(C8&lt;=2,"Unbranded","Branded"))</f>
        <v/>
      </c>
    </row>
    <row r="9">
      <c r="D9">
        <f>IF(C9="","",IF(C9&lt;=2,"Unbranded","Branded"))</f>
        <v/>
      </c>
    </row>
    <row r="10">
      <c r="D10">
        <f>IF(C10="","",IF(C10&lt;=2,"Unbranded","Branded"))</f>
        <v/>
      </c>
    </row>
    <row r="11">
      <c r="D11">
        <f>IF(C11="","",IF(C11&lt;=2,"Unbranded","Branded"))</f>
        <v/>
      </c>
    </row>
    <row r="12">
      <c r="D12">
        <f>IF(C12="","",IF(C12&lt;=2,"Unbranded","Branded"))</f>
        <v/>
      </c>
    </row>
    <row r="13">
      <c r="D13">
        <f>IF(C13="","",IF(C13&lt;=2,"Unbranded","Branded"))</f>
        <v/>
      </c>
    </row>
    <row r="14">
      <c r="D14">
        <f>IF(C14="","",IF(C14&lt;=2,"Unbranded","Branded"))</f>
        <v/>
      </c>
    </row>
    <row r="15">
      <c r="D15">
        <f>IF(C15="","",IF(C15&lt;=2,"Unbranded","Branded"))</f>
        <v/>
      </c>
    </row>
    <row r="16">
      <c r="D16">
        <f>IF(C16="","",IF(C16&lt;=2,"Unbranded","Branded"))</f>
        <v/>
      </c>
    </row>
    <row r="17">
      <c r="D17">
        <f>IF(C17="","",IF(C17&lt;=2,"Unbranded","Branded"))</f>
        <v/>
      </c>
    </row>
    <row r="18">
      <c r="D18">
        <f>IF(C18="","",IF(C18&lt;=2,"Unbranded","Branded"))</f>
        <v/>
      </c>
    </row>
    <row r="19">
      <c r="D19">
        <f>IF(C19="","",IF(C19&lt;=2,"Unbranded","Branded"))</f>
        <v/>
      </c>
    </row>
    <row r="20">
      <c r="D20">
        <f>IF(C20="","",IF(C20&lt;=2,"Unbranded","Branded"))</f>
        <v/>
      </c>
    </row>
    <row r="21">
      <c r="D21">
        <f>IF(C21="","",IF(C21&lt;=2,"Unbranded","Branded"))</f>
        <v/>
      </c>
    </row>
    <row r="22">
      <c r="D22">
        <f>IF(C22="","",IF(C22&lt;=2,"Unbranded","Branded"))</f>
        <v/>
      </c>
    </row>
    <row r="23">
      <c r="D23">
        <f>IF(C23="","",IF(C23&lt;=2,"Unbranded","Branded"))</f>
        <v/>
      </c>
    </row>
    <row r="24">
      <c r="D24">
        <f>IF(C24="","",IF(C24&lt;=2,"Unbranded","Branded"))</f>
        <v/>
      </c>
    </row>
    <row r="25">
      <c r="D25">
        <f>IF(C25="","",IF(C25&lt;=2,"Unbranded","Branded"))</f>
        <v/>
      </c>
    </row>
    <row r="26">
      <c r="D26">
        <f>IF(C26="","",IF(C26&lt;=2,"Unbranded","Branded"))</f>
        <v/>
      </c>
    </row>
    <row r="27">
      <c r="D27">
        <f>IF(C27="","",IF(C27&lt;=2,"Unbranded","Branded"))</f>
        <v/>
      </c>
    </row>
    <row r="28">
      <c r="D28">
        <f>IF(C28="","",IF(C28&lt;=2,"Unbranded","Branded"))</f>
        <v/>
      </c>
    </row>
    <row r="29">
      <c r="D29">
        <f>IF(C29="","",IF(C29&lt;=2,"Unbranded","Branded"))</f>
        <v/>
      </c>
    </row>
    <row r="30">
      <c r="D30">
        <f>IF(C30="","",IF(C30&lt;=2,"Unbranded","Branded"))</f>
        <v/>
      </c>
    </row>
    <row r="31">
      <c r="D31">
        <f>IF(C31="","",IF(C31&lt;=2,"Unbranded","Branded"))</f>
        <v/>
      </c>
    </row>
    <row r="32">
      <c r="D32">
        <f>IF(C32="","",IF(C32&lt;=2,"Unbranded","Branded"))</f>
        <v/>
      </c>
    </row>
    <row r="33">
      <c r="D33">
        <f>IF(C33="","",IF(C33&lt;=2,"Unbranded","Branded"))</f>
        <v/>
      </c>
    </row>
    <row r="34">
      <c r="D34">
        <f>IF(C34="","",IF(C34&lt;=2,"Unbranded","Branded"))</f>
        <v/>
      </c>
    </row>
    <row r="35">
      <c r="D35">
        <f>IF(C35="","",IF(C35&lt;=2,"Unbranded","Branded"))</f>
        <v/>
      </c>
    </row>
    <row r="36">
      <c r="D36">
        <f>IF(C36="","",IF(C36&lt;=2,"Unbranded","Branded"))</f>
        <v/>
      </c>
    </row>
    <row r="37">
      <c r="D37">
        <f>IF(C37="","",IF(C37&lt;=2,"Unbranded","Branded"))</f>
        <v/>
      </c>
    </row>
    <row r="38">
      <c r="D38">
        <f>IF(C38="","",IF(C38&lt;=2,"Unbranded","Branded"))</f>
        <v/>
      </c>
    </row>
    <row r="39">
      <c r="D39">
        <f>IF(C39="","",IF(C39&lt;=2,"Unbranded","Branded"))</f>
        <v/>
      </c>
    </row>
    <row r="40">
      <c r="D40">
        <f>IF(C40="","",IF(C40&lt;=2,"Unbranded","Branded"))</f>
        <v/>
      </c>
    </row>
    <row r="41">
      <c r="D41">
        <f>IF(C41="","",IF(C41&lt;=2,"Unbranded","Branded"))</f>
        <v/>
      </c>
    </row>
    <row r="42">
      <c r="D42">
        <f>IF(C42="","",IF(C42&lt;=2,"Unbranded","Branded"))</f>
        <v/>
      </c>
    </row>
    <row r="43">
      <c r="D43">
        <f>IF(C43="","",IF(C43&lt;=2,"Unbranded","Branded"))</f>
        <v/>
      </c>
    </row>
    <row r="44">
      <c r="D44">
        <f>IF(C44="","",IF(C44&lt;=2,"Unbranded","Branded"))</f>
        <v/>
      </c>
    </row>
    <row r="45">
      <c r="D45">
        <f>IF(C45="","",IF(C45&lt;=2,"Unbranded","Branded"))</f>
        <v/>
      </c>
    </row>
    <row r="46">
      <c r="D46">
        <f>IF(C46="","",IF(C46&lt;=2,"Unbranded","Branded"))</f>
        <v/>
      </c>
    </row>
    <row r="47">
      <c r="D47">
        <f>IF(C47="","",IF(C47&lt;=2,"Unbranded","Branded"))</f>
        <v/>
      </c>
    </row>
    <row r="48">
      <c r="D48">
        <f>IF(C48="","",IF(C48&lt;=2,"Unbranded","Branded"))</f>
        <v/>
      </c>
    </row>
    <row r="49">
      <c r="D49">
        <f>IF(C49="","",IF(C49&lt;=2,"Unbranded","Branded"))</f>
        <v/>
      </c>
    </row>
    <row r="50">
      <c r="D50">
        <f>IF(C50="","",IF(C50&lt;=2,"Unbranded","Branded"))</f>
        <v/>
      </c>
    </row>
    <row r="51">
      <c r="D51">
        <f>IF(C51="","",IF(C51&lt;=2,"Unbranded","Branded"))</f>
        <v/>
      </c>
    </row>
    <row r="52">
      <c r="D52">
        <f>IF(C52="","",IF(C52&lt;=2,"Unbranded","Branded"))</f>
        <v/>
      </c>
    </row>
    <row r="53">
      <c r="D53">
        <f>IF(C53="","",IF(C53&lt;=2,"Unbranded","Branded"))</f>
        <v/>
      </c>
    </row>
    <row r="54">
      <c r="D54">
        <f>IF(C54="","",IF(C54&lt;=2,"Unbranded","Branded"))</f>
        <v/>
      </c>
    </row>
    <row r="55">
      <c r="D55">
        <f>IF(C55="","",IF(C55&lt;=2,"Unbranded","Branded"))</f>
        <v/>
      </c>
    </row>
    <row r="56">
      <c r="D56">
        <f>IF(C56="","",IF(C56&lt;=2,"Unbranded","Branded"))</f>
        <v/>
      </c>
    </row>
    <row r="57">
      <c r="D57">
        <f>IF(C57="","",IF(C57&lt;=2,"Unbranded","Branded"))</f>
        <v/>
      </c>
    </row>
    <row r="58">
      <c r="D58">
        <f>IF(C58="","",IF(C58&lt;=2,"Unbranded","Branded"))</f>
        <v/>
      </c>
    </row>
    <row r="59">
      <c r="D59">
        <f>IF(C59="","",IF(C59&lt;=2,"Unbranded","Branded"))</f>
        <v/>
      </c>
    </row>
    <row r="60">
      <c r="D60">
        <f>IF(C60="","",IF(C60&lt;=2,"Unbranded","Branded"))</f>
        <v/>
      </c>
    </row>
    <row r="61">
      <c r="D61">
        <f>IF(C61="","",IF(C61&lt;=2,"Unbranded","Branded"))</f>
        <v/>
      </c>
    </row>
    <row r="62">
      <c r="D62">
        <f>IF(C62="","",IF(C62&lt;=2,"Unbranded","Branded"))</f>
        <v/>
      </c>
    </row>
    <row r="63">
      <c r="D63">
        <f>IF(C63="","",IF(C63&lt;=2,"Unbranded","Branded"))</f>
        <v/>
      </c>
    </row>
    <row r="64">
      <c r="D64">
        <f>IF(C64="","",IF(C64&lt;=2,"Unbranded","Branded"))</f>
        <v/>
      </c>
    </row>
    <row r="65">
      <c r="D65">
        <f>IF(C65="","",IF(C65&lt;=2,"Unbranded","Branded"))</f>
        <v/>
      </c>
    </row>
    <row r="66">
      <c r="D66">
        <f>IF(C66="","",IF(C66&lt;=2,"Unbranded","Branded"))</f>
        <v/>
      </c>
    </row>
    <row r="67">
      <c r="D67">
        <f>IF(C67="","",IF(C67&lt;=2,"Unbranded","Branded"))</f>
        <v/>
      </c>
    </row>
    <row r="68">
      <c r="D68">
        <f>IF(C68="","",IF(C68&lt;=2,"Unbranded","Branded"))</f>
        <v/>
      </c>
    </row>
    <row r="69">
      <c r="D69">
        <f>IF(C69="","",IF(C69&lt;=2,"Unbranded","Branded"))</f>
        <v/>
      </c>
    </row>
    <row r="70">
      <c r="D70">
        <f>IF(C70="","",IF(C70&lt;=2,"Unbranded","Branded"))</f>
        <v/>
      </c>
    </row>
    <row r="71">
      <c r="D71">
        <f>IF(C71="","",IF(C71&lt;=2,"Unbranded","Branded"))</f>
        <v/>
      </c>
    </row>
    <row r="72">
      <c r="D72">
        <f>IF(C72="","",IF(C72&lt;=2,"Unbranded","Branded"))</f>
        <v/>
      </c>
    </row>
    <row r="73">
      <c r="D73">
        <f>IF(C73="","",IF(C73&lt;=2,"Unbranded","Branded"))</f>
        <v/>
      </c>
    </row>
    <row r="74">
      <c r="D74">
        <f>IF(C74="","",IF(C74&lt;=2,"Unbranded","Branded"))</f>
        <v/>
      </c>
    </row>
    <row r="75">
      <c r="D75">
        <f>IF(C75="","",IF(C75&lt;=2,"Unbranded","Branded"))</f>
        <v/>
      </c>
    </row>
    <row r="76">
      <c r="D76">
        <f>IF(C76="","",IF(C76&lt;=2,"Unbranded","Branded"))</f>
        <v/>
      </c>
    </row>
    <row r="77">
      <c r="D77">
        <f>IF(C77="","",IF(C77&lt;=2,"Unbranded","Branded"))</f>
        <v/>
      </c>
    </row>
    <row r="78">
      <c r="D78">
        <f>IF(C78="","",IF(C78&lt;=2,"Unbranded","Branded"))</f>
        <v/>
      </c>
    </row>
    <row r="79">
      <c r="D79">
        <f>IF(C79="","",IF(C79&lt;=2,"Unbranded","Branded"))</f>
        <v/>
      </c>
    </row>
    <row r="80">
      <c r="D80">
        <f>IF(C80="","",IF(C80&lt;=2,"Unbranded","Branded"))</f>
        <v/>
      </c>
    </row>
    <row r="81">
      <c r="D81">
        <f>IF(C81="","",IF(C81&lt;=2,"Unbranded","Branded"))</f>
        <v/>
      </c>
    </row>
    <row r="82">
      <c r="D82">
        <f>IF(C82="","",IF(C82&lt;=2,"Unbranded","Branded"))</f>
        <v/>
      </c>
    </row>
    <row r="83">
      <c r="D83">
        <f>IF(C83="","",IF(C83&lt;=2,"Unbranded","Branded"))</f>
        <v/>
      </c>
    </row>
    <row r="84">
      <c r="D84">
        <f>IF(C84="","",IF(C84&lt;=2,"Unbranded","Branded"))</f>
        <v/>
      </c>
    </row>
    <row r="85">
      <c r="D85">
        <f>IF(C85="","",IF(C85&lt;=2,"Unbranded","Branded"))</f>
        <v/>
      </c>
    </row>
    <row r="86">
      <c r="D86">
        <f>IF(C86="","",IF(C86&lt;=2,"Unbranded","Branded"))</f>
        <v/>
      </c>
    </row>
    <row r="87">
      <c r="D87">
        <f>IF(C87="","",IF(C87&lt;=2,"Unbranded","Branded"))</f>
        <v/>
      </c>
    </row>
    <row r="88">
      <c r="D88">
        <f>IF(C88="","",IF(C88&lt;=2,"Unbranded","Branded"))</f>
        <v/>
      </c>
    </row>
    <row r="89">
      <c r="D89">
        <f>IF(C89="","",IF(C89&lt;=2,"Unbranded","Branded"))</f>
        <v/>
      </c>
    </row>
    <row r="90">
      <c r="D90">
        <f>IF(C90="","",IF(C90&lt;=2,"Unbranded","Branded"))</f>
        <v/>
      </c>
    </row>
    <row r="91">
      <c r="D91">
        <f>IF(C91="","",IF(C91&lt;=2,"Unbranded","Branded"))</f>
        <v/>
      </c>
    </row>
  </sheetData>
  <dataValidations count="5">
    <dataValidation sqref="B2:B91" showDropDown="0" showInputMessage="0" showErrorMessage="0" allowBlank="1" type="list">
      <formula1>"ChatGPT,Claude,Perplexity,Other"</formula1>
    </dataValidation>
    <dataValidation sqref="C2:C91" showDropDown="0" showInputMessage="0" showErrorMessage="0" allowBlank="1" type="list">
      <formula1>"1,2,3,4,5"</formula1>
    </dataValidation>
    <dataValidation sqref="F2:F91" showDropDown="0" showInputMessage="0" showErrorMessage="0" allowBlank="1" type="list">
      <formula1>"Yes,No"</formula1>
    </dataValidation>
    <dataValidation sqref="G2:G91" showDropDown="0" showInputMessage="0" showErrorMessage="0" allowBlank="1" type="list">
      <formula1>"1,2,3,4,5 or lower,Not listed"</formula1>
    </dataValidation>
    <dataValidation sqref="I2:I9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Summary (fills in from the Log sheet)</t>
        </is>
      </c>
    </row>
    <row r="3">
      <c r="A3" s="7" t="inlineStr">
        <is>
          <t>Engine</t>
        </is>
      </c>
      <c r="B3" s="7" t="inlineStr">
        <is>
          <t>Answers logged</t>
        </is>
      </c>
      <c r="C3" s="7" t="inlineStr">
        <is>
          <t>Unbranded answers</t>
        </is>
      </c>
      <c r="D3" s="7" t="inlineStr">
        <is>
          <t>Mentioned in unbranded</t>
        </is>
      </c>
      <c r="E3" s="7" t="inlineStr">
        <is>
          <t>Unbranded mention rate</t>
        </is>
      </c>
      <c r="F3" s="7" t="inlineStr">
        <is>
          <t>Branded answers</t>
        </is>
      </c>
      <c r="G3" s="7" t="inlineStr">
        <is>
          <t>Wrong or outdated facts</t>
        </is>
      </c>
    </row>
    <row r="4">
      <c r="A4" t="inlineStr">
        <is>
          <t>ChatGPT</t>
        </is>
      </c>
      <c r="B4">
        <f>COUNTIFS(Log!$B$2:$B$91,$A4)</f>
        <v/>
      </c>
      <c r="C4">
        <f>COUNTIFS(Log!$B$2:$B$91,$A4,Log!$D$2:$D$91,"Unbranded")</f>
        <v/>
      </c>
      <c r="D4">
        <f>COUNTIFS(Log!$B$2:$B$91,$A4,Log!$D$2:$D$91,"Unbranded",Log!$F$2:$F$91,"Yes")</f>
        <v/>
      </c>
      <c r="E4" s="8">
        <f>IF(C4=0,"",D4/C4)</f>
        <v/>
      </c>
      <c r="F4">
        <f>COUNTIFS(Log!$B$2:$B$91,$A4,Log!$D$2:$D$91,"Branded")</f>
        <v/>
      </c>
      <c r="G4">
        <f>COUNTIFS(Log!$B$2:$B$91,$A4,Log!$I$2:$I$91,"Yes")</f>
        <v/>
      </c>
    </row>
    <row r="5">
      <c r="A5" t="inlineStr">
        <is>
          <t>Claude</t>
        </is>
      </c>
      <c r="B5">
        <f>COUNTIFS(Log!$B$2:$B$91,$A5)</f>
        <v/>
      </c>
      <c r="C5">
        <f>COUNTIFS(Log!$B$2:$B$91,$A5,Log!$D$2:$D$91,"Unbranded")</f>
        <v/>
      </c>
      <c r="D5">
        <f>COUNTIFS(Log!$B$2:$B$91,$A5,Log!$D$2:$D$91,"Unbranded",Log!$F$2:$F$91,"Yes")</f>
        <v/>
      </c>
      <c r="E5" s="8">
        <f>IF(C5=0,"",D5/C5)</f>
        <v/>
      </c>
      <c r="F5">
        <f>COUNTIFS(Log!$B$2:$B$91,$A5,Log!$D$2:$D$91,"Branded")</f>
        <v/>
      </c>
      <c r="G5">
        <f>COUNTIFS(Log!$B$2:$B$91,$A5,Log!$I$2:$I$91,"Yes")</f>
        <v/>
      </c>
    </row>
    <row r="6">
      <c r="A6" t="inlineStr">
        <is>
          <t>Perplexity</t>
        </is>
      </c>
      <c r="B6">
        <f>COUNTIFS(Log!$B$2:$B$91,$A6)</f>
        <v/>
      </c>
      <c r="C6">
        <f>COUNTIFS(Log!$B$2:$B$91,$A6,Log!$D$2:$D$91,"Unbranded")</f>
        <v/>
      </c>
      <c r="D6">
        <f>COUNTIFS(Log!$B$2:$B$91,$A6,Log!$D$2:$D$91,"Unbranded",Log!$F$2:$F$91,"Yes")</f>
        <v/>
      </c>
      <c r="E6" s="8">
        <f>IF(C6=0,"",D6/C6)</f>
        <v/>
      </c>
      <c r="F6">
        <f>COUNTIFS(Log!$B$2:$B$91,$A6,Log!$D$2:$D$91,"Branded")</f>
        <v/>
      </c>
      <c r="G6">
        <f>COUNTIFS(Log!$B$2:$B$91,$A6,Log!$I$2:$I$91,"Yes")</f>
        <v/>
      </c>
    </row>
    <row r="7">
      <c r="A7" s="4" t="inlineStr">
        <is>
          <t>All engines</t>
        </is>
      </c>
      <c r="B7">
        <f>SUM(B4:B6)</f>
        <v/>
      </c>
      <c r="C7">
        <f>SUM(C4:C6)</f>
        <v/>
      </c>
      <c r="D7">
        <f>SUM(D4:D6)</f>
        <v/>
      </c>
      <c r="E7" s="8">
        <f>IF(C7=0,"",D7/C7)</f>
        <v/>
      </c>
      <c r="F7">
        <f>SUM(F4:F6)</f>
        <v/>
      </c>
      <c r="G7">
        <f>SUM(G4:G6)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2026-10-18T02:53:03Z</dcterms:created>
  <dcterms:modified xmlns:dcterms="http://purl.org/dc/terms/" xmlns:xsi="http://www.w3.org/2001/XMLSchema-instance" xsi:type="dcterms:W3CDTF">2026-10-18T02:53:03Z</dcterms:modified>
</cp:coreProperties>
</file>